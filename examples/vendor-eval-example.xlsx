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_Summary" sheetId="1" state="visible" r:id="rId1"/>
    <sheet xmlns:r="http://schemas.openxmlformats.org/officeDocument/2006/relationships" name="Criteria_Scoring" sheetId="2" state="visible" r:id="rId2"/>
    <sheet xmlns:r="http://schemas.openxmlformats.org/officeDocument/2006/relationships" name="Clinical_Safety" sheetId="3" state="visible" r:id="rId3"/>
    <sheet xmlns:r="http://schemas.openxmlformats.org/officeDocument/2006/relationships" name="HIPAA_Compliance" sheetId="4" state="visible" r:id="rId4"/>
    <sheet xmlns:r="http://schemas.openxmlformats.org/officeDocument/2006/relationships" name="Integration_Assessment" sheetId="5" state="visible" r:id="rId5"/>
    <sheet xmlns:r="http://schemas.openxmlformats.org/officeDocument/2006/relationships" name="Pilot_Design" sheetId="6" state="visible" r:id="rId6"/>
    <sheet xmlns:r="http://schemas.openxmlformats.org/officeDocument/2006/relationships" name="Contract_Requirem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8" customWidth="1" min="1" max="1"/>
    <col width="44" customWidth="1" min="2" max="2"/>
    <col width="60" customWidth="1" min="3" max="3"/>
    <col width="16" customWidth="1" min="4" max="4"/>
    <col width="15" customWidth="1" min="5" max="5"/>
    <col width="14" customWidth="1" min="6" max="6"/>
  </cols>
  <sheetData>
    <row r="1">
      <c r="A1" s="1" t="inlineStr">
        <is>
          <t>Vendor Name</t>
        </is>
      </c>
      <c r="B1" s="1" t="inlineStr">
        <is>
          <t>Category</t>
        </is>
      </c>
      <c r="C1" s="1" t="inlineStr">
        <is>
          <t>Overall Score</t>
        </is>
      </c>
      <c r="D1" s="1" t="inlineStr">
        <is>
          <t>Recommendation</t>
        </is>
      </c>
      <c r="E1" s="1" t="inlineStr">
        <is>
          <t>Decision Date</t>
        </is>
      </c>
      <c r="F1" s="1" t="inlineStr">
        <is>
          <t>Owner</t>
        </is>
      </c>
    </row>
    <row r="2">
      <c r="A2" s="2" t="inlineStr">
        <is>
          <t>Vendor A — VoiceCare AI</t>
        </is>
      </c>
      <c r="B2" s="2" t="inlineStr">
        <is>
          <t>AI Voice Agent — Behavioral Health</t>
        </is>
      </c>
      <c r="C2" s="2">
        <f>IF(SUM(Criteria_Scoring!C:C)=0,"",SUM(Criteria_Scoring!E:E)/SUM(Criteria_Scoring!C:C)*100)</f>
        <v/>
      </c>
      <c r="D2" s="2" t="inlineStr">
        <is>
          <t>Conditional</t>
        </is>
      </c>
      <c r="E2" s="2" t="inlineStr">
        <is>
          <t>2026-04-29</t>
        </is>
      </c>
      <c r="F2" s="2" t="inlineStr">
        <is>
          <t>Product Lead</t>
        </is>
      </c>
    </row>
    <row r="3"/>
    <row r="4">
      <c r="A4" s="3" t="inlineStr">
        <is>
          <t>Scoring Breakdown</t>
        </is>
      </c>
    </row>
    <row r="5">
      <c r="A5" s="4" t="inlineStr">
        <is>
          <t>Total Criteria:</t>
        </is>
      </c>
      <c r="B5">
        <f>COUNTA(Criteria_Scoring!A:A)-1</f>
        <v/>
      </c>
    </row>
    <row r="6">
      <c r="A6" s="4" t="inlineStr">
        <is>
          <t>Criteria Scored 4+:</t>
        </is>
      </c>
      <c r="B6">
        <f>COUNTIF(Criteria_Scoring!D:D,"&gt;="&amp;4)</f>
        <v/>
      </c>
    </row>
    <row r="7">
      <c r="A7" s="4" t="inlineStr">
        <is>
          <t>Criteria Scored &lt;=2:</t>
        </is>
      </c>
      <c r="B7">
        <f>COUNTIF(Criteria_Scoring!D:D,"&lt;="&amp;2)</f>
        <v/>
      </c>
    </row>
    <row r="8">
      <c r="A8" s="4" t="inlineStr">
        <is>
          <t>Clinical Safety Items Met:</t>
        </is>
      </c>
      <c r="B8">
        <f>COUNTIF(Clinical_Safety!D:D,"Yes")</f>
        <v/>
      </c>
    </row>
    <row r="9">
      <c r="A9" s="4" t="inlineStr">
        <is>
          <t>HIPAA Items Compliant:</t>
        </is>
      </c>
      <c r="B9">
        <f>COUNTIF(HIPAA_Compliance!C:C,"Compliant")</f>
        <v/>
      </c>
    </row>
    <row r="10">
      <c r="A10" s="4" t="inlineStr">
        <is>
          <t>Contract Terms Acceptable:</t>
        </is>
      </c>
      <c r="B10">
        <f>COUNTIF(Contract_Requirements!D:D,"Yes")</f>
        <v/>
      </c>
    </row>
  </sheetData>
  <conditionalFormatting sqref="D2">
    <cfRule type="cellIs" priority="1" operator="equal" dxfId="0">
      <formula>"Proceed"</formula>
    </cfRule>
    <cfRule type="cellIs" priority="2" operator="equal" dxfId="1">
      <formula>"Reject"</formula>
    </cfRule>
    <cfRule type="cellIs" priority="3" operator="equal" dxfId="2">
      <formula>"Conditional"</formula>
    </cfRule>
  </conditionalFormatting>
  <dataValidations count="1">
    <dataValidation sqref="D2" showDropDown="0" showInputMessage="0" showErrorMessage="1" allowBlank="0" errorTitle="Invalid Recommendation" error="Recommendation must be Proceed, Conditional, or Reject." type="list">
      <formula1>"Proceed,Conditional,Reject"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14" customWidth="1" min="3" max="3"/>
    <col width="13" customWidth="1" min="4" max="4"/>
    <col width="16" customWidth="1" min="5" max="5"/>
    <col width="60" customWidth="1" min="6" max="6"/>
  </cols>
  <sheetData>
    <row r="1">
      <c r="A1" s="1" t="inlineStr">
        <is>
          <t>Criterion</t>
        </is>
      </c>
      <c r="B1" s="1" t="inlineStr">
        <is>
          <t>Category</t>
        </is>
      </c>
      <c r="C1" s="1" t="inlineStr">
        <is>
          <t>Weight (%)</t>
        </is>
      </c>
      <c r="D1" s="1" t="inlineStr">
        <is>
          <t>Score (1-5)</t>
        </is>
      </c>
      <c r="E1" s="1" t="inlineStr">
        <is>
          <t>Weighted Score</t>
        </is>
      </c>
      <c r="F1" s="1" t="inlineStr">
        <is>
          <t>Evidence/Notes</t>
        </is>
      </c>
    </row>
    <row r="2">
      <c r="A2" s="2" t="inlineStr">
        <is>
          <t>Crisis detection accuracy (suicidal ideation, self-harm)</t>
        </is>
      </c>
      <c r="B2" s="2" t="inlineStr">
        <is>
          <t>Clinical Safety</t>
        </is>
      </c>
      <c r="C2" s="2" t="n">
        <v>15</v>
      </c>
      <c r="D2" s="2" t="n">
        <v>4</v>
      </c>
      <c r="E2" s="2">
        <f>C2*D2/100</f>
        <v/>
      </c>
      <c r="F2" s="2" t="inlineStr">
        <is>
          <t>Vendor claims 94% sensitivity on internal benchmark; independent validation pending</t>
        </is>
      </c>
    </row>
    <row r="3">
      <c r="A3" s="2" t="inlineStr">
        <is>
          <t>Clinical scope guardrails (no diagnosis, no prescribing)</t>
        </is>
      </c>
      <c r="B3" s="2" t="inlineStr">
        <is>
          <t>Clinical Safety</t>
        </is>
      </c>
      <c r="C3" s="2" t="n">
        <v>10</v>
      </c>
      <c r="D3" s="2" t="n">
        <v>3</v>
      </c>
      <c r="E3" s="2">
        <f>C3*D3/100</f>
        <v/>
      </c>
      <c r="F3" s="2" t="inlineStr">
        <is>
          <t>Guardrails present but triggered inconsistently on edge-case prompts during demo</t>
        </is>
      </c>
    </row>
    <row r="4">
      <c r="A4" s="2" t="inlineStr">
        <is>
          <t>De-escalation protocol adherence</t>
        </is>
      </c>
      <c r="B4" s="2" t="inlineStr">
        <is>
          <t>Clinical Safety</t>
        </is>
      </c>
      <c r="C4" s="2" t="n">
        <v>10</v>
      </c>
      <c r="D4" s="2" t="n">
        <v>4</v>
      </c>
      <c r="E4" s="2">
        <f>C4*D4/100</f>
        <v/>
      </c>
      <c r="F4" s="2" t="inlineStr">
        <is>
          <t>Follows motivational interviewing framework; warm handoff to crisis line confirmed</t>
        </is>
      </c>
    </row>
    <row r="5">
      <c r="A5" s="2" t="inlineStr">
        <is>
          <t>BAA execution and terms</t>
        </is>
      </c>
      <c r="B5" s="2" t="inlineStr">
        <is>
          <t>HIPAA &amp; Compliance</t>
        </is>
      </c>
      <c r="C5" s="2" t="n">
        <v>8</v>
      </c>
      <c r="D5" s="2" t="n">
        <v>5</v>
      </c>
      <c r="E5" s="2">
        <f>C5*D5/100</f>
        <v/>
      </c>
      <c r="F5" s="2" t="inlineStr">
        <is>
          <t>Standard BAA signed; includes breach notification within 24 hours</t>
        </is>
      </c>
    </row>
    <row r="6">
      <c r="A6" s="2" t="inlineStr">
        <is>
          <t>42 CFR Part 2 compliance (SUD data)</t>
        </is>
      </c>
      <c r="B6" s="2" t="inlineStr">
        <is>
          <t>HIPAA &amp; Compliance</t>
        </is>
      </c>
      <c r="C6" s="2" t="n">
        <v>8</v>
      </c>
      <c r="D6" s="2" t="n">
        <v>3</v>
      </c>
      <c r="E6" s="2">
        <f>C6*D6/100</f>
        <v/>
      </c>
      <c r="F6" s="2" t="inlineStr">
        <is>
          <t>Vendor unfamiliar with Part 2 requirements; needs custom consent flow for SUD data</t>
        </is>
      </c>
    </row>
    <row r="7">
      <c r="A7" s="2" t="inlineStr">
        <is>
          <t>SOC 2 Type II certification</t>
        </is>
      </c>
      <c r="B7" s="2" t="inlineStr">
        <is>
          <t>HIPAA &amp; Compliance</t>
        </is>
      </c>
      <c r="C7" s="2" t="n">
        <v>5</v>
      </c>
      <c r="D7" s="2" t="n">
        <v>4</v>
      </c>
      <c r="E7" s="2">
        <f>C7*D7/100</f>
        <v/>
      </c>
      <c r="F7" s="2" t="inlineStr">
        <is>
          <t>SOC 2 Type II report dated 2025-09; annual audit cycle confirmed</t>
        </is>
      </c>
    </row>
    <row r="8">
      <c r="A8" s="2" t="inlineStr">
        <is>
          <t>athenahealth EHR integration (FHIR R4)</t>
        </is>
      </c>
      <c r="B8" s="2" t="inlineStr">
        <is>
          <t>Integration</t>
        </is>
      </c>
      <c r="C8" s="2" t="n">
        <v>8</v>
      </c>
      <c r="D8" s="2" t="n">
        <v>3</v>
      </c>
      <c r="E8" s="2">
        <f>C8*D8/100</f>
        <v/>
      </c>
      <c r="F8" s="2" t="inlineStr">
        <is>
          <t>FHIR R4 API available; athenahealth-specific connector in beta, not GA</t>
        </is>
      </c>
    </row>
    <row r="9">
      <c r="A9" s="2" t="inlineStr">
        <is>
          <t>Salesforce Health Cloud integration</t>
        </is>
      </c>
      <c r="B9" s="2" t="inlineStr">
        <is>
          <t>Integration</t>
        </is>
      </c>
      <c r="C9" s="2" t="n">
        <v>5</v>
      </c>
      <c r="D9" s="2" t="n">
        <v>4</v>
      </c>
      <c r="E9" s="2">
        <f>C9*D9/100</f>
        <v/>
      </c>
      <c r="F9" s="2" t="inlineStr">
        <is>
          <t>Native Salesforce app available; supports custom object mapping</t>
        </is>
      </c>
    </row>
    <row r="10">
      <c r="A10" s="2" t="inlineStr">
        <is>
          <t>Telephony platform compatibility (Twilio / RingCentral)</t>
        </is>
      </c>
      <c r="B10" s="2" t="inlineStr">
        <is>
          <t>Integration</t>
        </is>
      </c>
      <c r="C10" s="2" t="n">
        <v>5</v>
      </c>
      <c r="D10" s="2" t="n">
        <v>5</v>
      </c>
      <c r="E10" s="2">
        <f>C10*D10/100</f>
        <v/>
      </c>
      <c r="F10" s="2" t="inlineStr">
        <is>
          <t>Twilio SIP trunk verified; RingCentral integration via partner</t>
        </is>
      </c>
    </row>
    <row r="11">
      <c r="A11" s="2" t="inlineStr">
        <is>
          <t>Per-call cost vs. current cost-per-touchpoint</t>
        </is>
      </c>
      <c r="B11" s="2" t="inlineStr">
        <is>
          <t>Cost &amp; Value</t>
        </is>
      </c>
      <c r="C11" s="2" t="n">
        <v>5</v>
      </c>
      <c r="D11" s="2" t="n">
        <v>3</v>
      </c>
      <c r="E11" s="2">
        <f>C11*D11/100</f>
        <v/>
      </c>
      <c r="F11" s="2" t="inlineStr">
        <is>
          <t>$1.20/call vs. $4.80 current staff cost; volume discounts above 10K calls/month</t>
        </is>
      </c>
    </row>
    <row r="12">
      <c r="A12" s="2" t="inlineStr">
        <is>
          <t>Implementation cost and timeline</t>
        </is>
      </c>
      <c r="B12" s="2" t="inlineStr">
        <is>
          <t>Cost &amp; Value</t>
        </is>
      </c>
      <c r="C12" s="2" t="n">
        <v>3</v>
      </c>
      <c r="D12" s="2" t="n">
        <v>3</v>
      </c>
      <c r="E12" s="2">
        <f>C12*D12/100</f>
        <v/>
      </c>
      <c r="F12" s="2" t="inlineStr">
        <is>
          <t>$85K implementation; 12-week timeline including EHR integration</t>
        </is>
      </c>
    </row>
    <row r="13">
      <c r="A13" s="2" t="inlineStr">
        <is>
          <t>Total cost of ownership (3-year projection)</t>
        </is>
      </c>
      <c r="B13" s="2" t="inlineStr">
        <is>
          <t>Cost &amp; Value</t>
        </is>
      </c>
      <c r="C13" s="2" t="n">
        <v>4</v>
      </c>
      <c r="D13" s="2" t="n">
        <v>3</v>
      </c>
      <c r="E13" s="2">
        <f>C13*D13/100</f>
        <v/>
      </c>
      <c r="F13" s="2" t="inlineStr">
        <is>
          <t>3-year TCO ~$420K including licensing, integration, and support</t>
        </is>
      </c>
    </row>
    <row r="14">
      <c r="A14" s="2" t="inlineStr">
        <is>
          <t>Multi-language support (Spanish, English minimum)</t>
        </is>
      </c>
      <c r="B14" s="2" t="inlineStr">
        <is>
          <t>Scalability</t>
        </is>
      </c>
      <c r="C14" s="2" t="n">
        <v>4</v>
      </c>
      <c r="D14" s="2" t="n">
        <v>4</v>
      </c>
      <c r="E14" s="2">
        <f>C14*D14/100</f>
        <v/>
      </c>
      <c r="F14" s="2" t="inlineStr">
        <is>
          <t>English and Spanish GA; Portuguese and Haitian Creole on roadmap Q3 2026</t>
        </is>
      </c>
    </row>
    <row r="15">
      <c r="A15" s="2" t="inlineStr">
        <is>
          <t>Concurrent call capacity</t>
        </is>
      </c>
      <c r="B15" s="2" t="inlineStr">
        <is>
          <t>Scalability</t>
        </is>
      </c>
      <c r="C15" s="2" t="n">
        <v>3</v>
      </c>
      <c r="D15" s="2" t="n">
        <v>5</v>
      </c>
      <c r="E15" s="2">
        <f>C15*D15/100</f>
        <v/>
      </c>
      <c r="F15" s="2" t="inlineStr">
        <is>
          <t>Tested to 500 concurrent calls; auto-scaling on AWS infrastructure</t>
        </is>
      </c>
    </row>
    <row r="16">
      <c r="A16" s="2" t="inlineStr">
        <is>
          <t>Patient satisfaction scores from reference customers</t>
        </is>
      </c>
      <c r="B16" s="2" t="inlineStr">
        <is>
          <t>User Experience</t>
        </is>
      </c>
      <c r="C16" s="2" t="n">
        <v>4</v>
      </c>
      <c r="D16" s="2" t="n">
        <v>4</v>
      </c>
      <c r="E16" s="2">
        <f>C16*D16/100</f>
        <v/>
      </c>
      <c r="F16" s="2" t="inlineStr">
        <is>
          <t>Reference customers report 4.2/5.0 patient satisfaction; NPS +32</t>
        </is>
      </c>
    </row>
    <row r="17">
      <c r="A17" s="2" t="inlineStr">
        <is>
          <t>Voice naturalness and latency</t>
        </is>
      </c>
      <c r="B17" s="2" t="inlineStr">
        <is>
          <t>User Experience</t>
        </is>
      </c>
      <c r="C17" s="2" t="n">
        <v>3</v>
      </c>
      <c r="D17" s="2" t="n">
        <v>4</v>
      </c>
      <c r="E17" s="2">
        <f>C17*D17/100</f>
        <v/>
      </c>
      <c r="F17" s="2" t="inlineStr">
        <is>
          <t>Sub-500ms response latency; voice quality rated 'natural' by 78% of test users</t>
        </is>
      </c>
    </row>
    <row r="18">
      <c r="A18" s="2" t="n"/>
      <c r="B18" s="5" t="inlineStr">
        <is>
          <t>TOTAL</t>
        </is>
      </c>
      <c r="C18" s="2">
        <f>SUM(C2:C17)</f>
        <v/>
      </c>
      <c r="D18" s="2" t="n"/>
      <c r="E18" s="2">
        <f>SUM(E2:E17)</f>
        <v/>
      </c>
      <c r="F18" s="2" t="n"/>
    </row>
  </sheetData>
  <dataValidations count="2">
    <dataValidation sqref="B2:B17" showDropDown="0" showInputMessage="0" showErrorMessage="1" allowBlank="0" errorTitle="Invalid Category" error="Select a valid evaluation category." type="list">
      <formula1>"Clinical Safety,HIPAA &amp; Compliance,Integration,Cost &amp; Value,Scalability,User Experience"</formula1>
    </dataValidation>
    <dataValidation sqref="D2:D17" showDropDown="0" showInputMessage="0" showErrorMessage="1" allowBlank="0" errorTitle="Invalid Score" error="Score must be between 1 and 5." type="list">
      <formula1>"1,2,3,4,5"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12" customWidth="1" min="3" max="3"/>
    <col width="12" customWidth="1" min="4" max="4"/>
    <col width="60" customWidth="1" min="5" max="5"/>
    <col width="60" customWidth="1" min="6" max="6"/>
  </cols>
  <sheetData>
    <row r="1">
      <c r="A1" s="1" t="inlineStr">
        <is>
          <t>Requirement ID</t>
        </is>
      </c>
      <c r="B1" s="1" t="inlineStr">
        <is>
          <t>Requirement</t>
        </is>
      </c>
      <c r="C1" s="1" t="inlineStr">
        <is>
          <t>Priority</t>
        </is>
      </c>
      <c r="D1" s="1" t="inlineStr">
        <is>
          <t>Met?</t>
        </is>
      </c>
      <c r="E1" s="1" t="inlineStr">
        <is>
          <t>Evidence</t>
        </is>
      </c>
      <c r="F1" s="1" t="inlineStr">
        <is>
          <t>Gap Notes</t>
        </is>
      </c>
    </row>
    <row r="2">
      <c r="A2" s="2" t="inlineStr">
        <is>
          <t>CS-001</t>
        </is>
      </c>
      <c r="B2" s="2" t="inlineStr">
        <is>
          <t>System must detect crisis language (suicidal ideation, self-harm, overdose intent) and immediately route to crisis line</t>
        </is>
      </c>
      <c r="C2" s="2" t="inlineStr">
        <is>
          <t>Must</t>
        </is>
      </c>
      <c r="D2" s="2" t="inlineStr">
        <is>
          <t>Partial</t>
        </is>
      </c>
      <c r="E2" s="2" t="inlineStr">
        <is>
          <t>Demo showed detection of explicit statements; missed indirect/coded language in 2 of 8 test cases</t>
        </is>
      </c>
      <c r="F2" s="2" t="inlineStr">
        <is>
          <t>Require additional testing with behavioral health-specific crisis lexicon</t>
        </is>
      </c>
    </row>
    <row r="3">
      <c r="A3" s="2" t="inlineStr">
        <is>
          <t>CS-002</t>
        </is>
      </c>
      <c r="B3" s="2" t="inlineStr">
        <is>
          <t>System must not provide clinical diagnoses, medication recommendations, or treatment plans</t>
        </is>
      </c>
      <c r="C3" s="2" t="inlineStr">
        <is>
          <t>Must</t>
        </is>
      </c>
      <c r="D3" s="2" t="inlineStr">
        <is>
          <t>Yes</t>
        </is>
      </c>
      <c r="E3" s="2" t="inlineStr">
        <is>
          <t>Tested 25 prompts attempting to elicit clinical advice; all correctly deflected</t>
        </is>
      </c>
      <c r="F3" s="2" t="inlineStr"/>
    </row>
    <row r="4">
      <c r="A4" s="2" t="inlineStr">
        <is>
          <t>CS-003</t>
        </is>
      </c>
      <c r="B4" s="2" t="inlineStr">
        <is>
          <t>System must implement warm handoff to live clinician within 30 seconds when requested</t>
        </is>
      </c>
      <c r="C4" s="2" t="inlineStr">
        <is>
          <t>Must</t>
        </is>
      </c>
      <c r="D4" s="2" t="inlineStr">
        <is>
          <t>Yes</t>
        </is>
      </c>
      <c r="E4" s="2" t="inlineStr">
        <is>
          <t>Average handoff time 18 seconds in demo; queue management configurable</t>
        </is>
      </c>
      <c r="F4" s="2" t="inlineStr"/>
    </row>
    <row r="5">
      <c r="A5" s="2" t="inlineStr">
        <is>
          <t>CS-004</t>
        </is>
      </c>
      <c r="B5" s="2" t="inlineStr">
        <is>
          <t>System must de-escalate distressed callers using trauma-informed language</t>
        </is>
      </c>
      <c r="C5" s="2" t="inlineStr">
        <is>
          <t>Must</t>
        </is>
      </c>
      <c r="D5" s="2" t="inlineStr">
        <is>
          <t>Partial</t>
        </is>
      </c>
      <c r="E5" s="2" t="inlineStr">
        <is>
          <t>Motivational interviewing framework present; trauma-informed care vocabulary needs customization</t>
        </is>
      </c>
      <c r="F5" s="2" t="inlineStr">
        <is>
          <t>Need to train on Eleanor Health's clinical communication guidelines</t>
        </is>
      </c>
    </row>
    <row r="6">
      <c r="A6" s="2" t="inlineStr">
        <is>
          <t>CS-005</t>
        </is>
      </c>
      <c r="B6" s="2" t="inlineStr">
        <is>
          <t>System must log all interactions for clinical quality review</t>
        </is>
      </c>
      <c r="C6" s="2" t="inlineStr">
        <is>
          <t>Must</t>
        </is>
      </c>
      <c r="D6" s="2" t="inlineStr">
        <is>
          <t>Yes</t>
        </is>
      </c>
      <c r="E6" s="2" t="inlineStr">
        <is>
          <t>Full transcript and audio recording with configurable retention; HIPAA-compliant storage</t>
        </is>
      </c>
      <c r="F6" s="2" t="inlineStr"/>
    </row>
    <row r="7">
      <c r="A7" s="2" t="inlineStr">
        <is>
          <t>CS-006</t>
        </is>
      </c>
      <c r="B7" s="2" t="inlineStr">
        <is>
          <t>System must not continue conversation if patient reports active medical emergency</t>
        </is>
      </c>
      <c r="C7" s="2" t="inlineStr">
        <is>
          <t>Must</t>
        </is>
      </c>
      <c r="D7" s="2" t="inlineStr">
        <is>
          <t>Yes</t>
        </is>
      </c>
      <c r="E7" s="2" t="inlineStr">
        <is>
          <t>Emergency detection triggers 911 routing script; tested with 5 emergency scenarios</t>
        </is>
      </c>
      <c r="F7" s="2" t="inlineStr"/>
    </row>
    <row r="8">
      <c r="A8" s="2" t="inlineStr">
        <is>
          <t>CS-007</t>
        </is>
      </c>
      <c r="B8" s="2" t="inlineStr">
        <is>
          <t>System must respect patient opt-out and Do Not Call preferences</t>
        </is>
      </c>
      <c r="C8" s="2" t="inlineStr">
        <is>
          <t>Should</t>
        </is>
      </c>
      <c r="D8" s="2" t="inlineStr">
        <is>
          <t>Yes</t>
        </is>
      </c>
      <c r="E8" s="2" t="inlineStr">
        <is>
          <t>Opt-out recorded in real time; syncs to DNC list within 1 hour</t>
        </is>
      </c>
      <c r="F8" s="2" t="inlineStr"/>
    </row>
    <row r="9">
      <c r="A9" s="2" t="inlineStr">
        <is>
          <t>CS-008</t>
        </is>
      </c>
      <c r="B9" s="2" t="inlineStr">
        <is>
          <t>System must identify and appropriately handle minors (under 18)</t>
        </is>
      </c>
      <c r="C9" s="2" t="inlineStr">
        <is>
          <t>Should</t>
        </is>
      </c>
      <c r="D9" s="2" t="inlineStr">
        <is>
          <t>No</t>
        </is>
      </c>
      <c r="E9" s="2" t="inlineStr">
        <is>
          <t>No age verification or minor-specific workflow exists</t>
        </is>
      </c>
      <c r="F9" s="2" t="inlineStr">
        <is>
          <t>Need custom workflow for minor callers; consider parental consent requirements</t>
        </is>
      </c>
    </row>
    <row r="10">
      <c r="A10" s="2" t="inlineStr">
        <is>
          <t>CS-009</t>
        </is>
      </c>
      <c r="B10" s="2" t="inlineStr">
        <is>
          <t>System must detect substance use crisis indicators (overdose symptoms, withdrawal distress)</t>
        </is>
      </c>
      <c r="C10" s="2" t="inlineStr">
        <is>
          <t>Must</t>
        </is>
      </c>
      <c r="D10" s="2" t="inlineStr">
        <is>
          <t>Partial</t>
        </is>
      </c>
      <c r="E10" s="2" t="inlineStr">
        <is>
          <t>General crisis detection present; SUD-specific indicators not in training data</t>
        </is>
      </c>
      <c r="F10" s="2" t="inlineStr">
        <is>
          <t>Vendor to add SUD crisis lexicon; validate with Eleanor clinical team</t>
        </is>
      </c>
    </row>
    <row r="11">
      <c r="A11" s="2" t="inlineStr">
        <is>
          <t>CS-010</t>
        </is>
      </c>
      <c r="B11" s="2" t="inlineStr">
        <is>
          <t>System must not store or repeat back sensitive disclosures (assault, abuse) beyond the session</t>
        </is>
      </c>
      <c r="C11" s="2" t="inlineStr">
        <is>
          <t>Must</t>
        </is>
      </c>
      <c r="D11" s="2" t="inlineStr">
        <is>
          <t>Yes</t>
        </is>
      </c>
      <c r="E11" s="2" t="inlineStr">
        <is>
          <t>Session memory is ephemeral; sensitive topics flagged but not persisted in patient profile</t>
        </is>
      </c>
      <c r="F11" s="2" t="inlineStr"/>
    </row>
  </sheetData>
  <conditionalFormatting sqref="D2:D11">
    <cfRule type="cellIs" priority="1" operator="equal" dxfId="0">
      <formula>"Yes"</formula>
    </cfRule>
    <cfRule type="cellIs" priority="2" operator="equal" dxfId="1">
      <formula>"No"</formula>
    </cfRule>
    <cfRule type="cellIs" priority="3" operator="equal" dxfId="2">
      <formula>"Partial"</formula>
    </cfRule>
  </conditionalFormatting>
  <dataValidations count="2">
    <dataValidation sqref="C2:C11" showDropDown="0" showInputMessage="0" showErrorMessage="1" allowBlank="0" errorTitle="Invalid Priority" error="Priority must be Must, Should, or Nice." type="list">
      <formula1>"Must,Should,Nice"</formula1>
    </dataValidation>
    <dataValidation sqref="D2:D11" showDropDown="0" showInputMessage="0" showErrorMessage="1" allowBlank="0" errorTitle="Invalid Value" error="Must be Yes, No, or Partial." type="list">
      <formula1>"Yes,No,Partial"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15" customWidth="1" min="3" max="3"/>
    <col width="60" customWidth="1" min="4" max="4"/>
    <col width="60" customWidth="1" min="5" max="5"/>
  </cols>
  <sheetData>
    <row r="1">
      <c r="A1" s="1" t="inlineStr">
        <is>
          <t>Requirement ID</t>
        </is>
      </c>
      <c r="B1" s="1" t="inlineStr">
        <is>
          <t>Requirement</t>
        </is>
      </c>
      <c r="C1" s="1" t="inlineStr">
        <is>
          <t>Status</t>
        </is>
      </c>
      <c r="D1" s="1" t="inlineStr">
        <is>
          <t>Evidence</t>
        </is>
      </c>
      <c r="E1" s="1" t="inlineStr">
        <is>
          <t>Risk if Unmet</t>
        </is>
      </c>
    </row>
    <row r="2">
      <c r="A2" s="2" t="inlineStr">
        <is>
          <t>HC-001</t>
        </is>
      </c>
      <c r="B2" s="2" t="inlineStr">
        <is>
          <t>Execute Business Associate Agreement (BAA) covering all PHI handling</t>
        </is>
      </c>
      <c r="C2" s="2" t="inlineStr">
        <is>
          <t>Compliant</t>
        </is>
      </c>
      <c r="D2" s="2" t="inlineStr">
        <is>
          <t>BAA signed 2026-03-15; covers voice data, transcripts, and metadata</t>
        </is>
      </c>
      <c r="E2" s="2" t="inlineStr">
        <is>
          <t>HIPAA violation; potential OCR enforcement action and fines up to $1.5M per category</t>
        </is>
      </c>
    </row>
    <row r="3">
      <c r="A3" s="2" t="inlineStr">
        <is>
          <t>HC-002</t>
        </is>
      </c>
      <c r="B3" s="2" t="inlineStr">
        <is>
          <t>Encrypt PHI at rest (AES-256) and in transit (TLS 1.2+)</t>
        </is>
      </c>
      <c r="C3" s="2" t="inlineStr">
        <is>
          <t>Compliant</t>
        </is>
      </c>
      <c r="D3" s="2" t="inlineStr">
        <is>
          <t>AES-256 at rest confirmed; TLS 1.3 in transit; encryption keys managed via AWS KMS</t>
        </is>
      </c>
      <c r="E3" s="2" t="inlineStr">
        <is>
          <t>Data breach exposure; HIPAA Security Rule violation</t>
        </is>
      </c>
    </row>
    <row r="4">
      <c r="A4" s="2" t="inlineStr">
        <is>
          <t>HC-003</t>
        </is>
      </c>
      <c r="B4" s="2" t="inlineStr">
        <is>
          <t>Maintain audit logs of all PHI access for minimum 6 years</t>
        </is>
      </c>
      <c r="C4" s="2" t="inlineStr">
        <is>
          <t>Compliant</t>
        </is>
      </c>
      <c r="D4" s="2" t="inlineStr">
        <is>
          <t>CloudTrail + application-level audit logs; 7-year retention configured</t>
        </is>
      </c>
      <c r="E4" s="2" t="inlineStr">
        <is>
          <t>Cannot demonstrate compliance during audit; HIPAA Administrative Safeguard violation</t>
        </is>
      </c>
    </row>
    <row r="5">
      <c r="A5" s="2" t="inlineStr">
        <is>
          <t>HC-004</t>
        </is>
      </c>
      <c r="B5" s="2" t="inlineStr">
        <is>
          <t>42 CFR Part 2 compliant consent management for SUD treatment data</t>
        </is>
      </c>
      <c r="C5" s="2" t="inlineStr">
        <is>
          <t>Non-Compliant</t>
        </is>
      </c>
      <c r="D5" s="2" t="inlineStr">
        <is>
          <t>Vendor does not currently support Part 2 consent workflows</t>
        </is>
      </c>
      <c r="E5" s="2" t="inlineStr">
        <is>
          <t>Federal violation for unauthorized SUD data disclosure; criminal penalties possible</t>
        </is>
      </c>
    </row>
    <row r="6">
      <c r="A6" s="2" t="inlineStr">
        <is>
          <t>HC-005</t>
        </is>
      </c>
      <c r="B6" s="2" t="inlineStr">
        <is>
          <t>Breach notification within 72 hours per HIPAA Breach Notification Rule</t>
        </is>
      </c>
      <c r="C6" s="2" t="inlineStr">
        <is>
          <t>Compliant</t>
        </is>
      </c>
      <c r="D6" s="2" t="inlineStr">
        <is>
          <t>BAA specifies 24-hour vendor notification to covered entity; incident response plan reviewed</t>
        </is>
      </c>
      <c r="E6" s="2" t="inlineStr">
        <is>
          <t>Delayed breach response; regulatory penalties and patient harm</t>
        </is>
      </c>
    </row>
    <row r="7">
      <c r="A7" s="2" t="inlineStr">
        <is>
          <t>HC-006</t>
        </is>
      </c>
      <c r="B7" s="2" t="inlineStr">
        <is>
          <t>Role-based access control (RBAC) for all PHI systems</t>
        </is>
      </c>
      <c r="C7" s="2" t="inlineStr">
        <is>
          <t>Compliant</t>
        </is>
      </c>
      <c r="D7" s="2" t="inlineStr">
        <is>
          <t>RBAC implemented with quarterly access reviews; MFA required for all admin access</t>
        </is>
      </c>
      <c r="E7" s="2" t="inlineStr">
        <is>
          <t>Unauthorized PHI access; minimum necessary standard violation</t>
        </is>
      </c>
    </row>
    <row r="8">
      <c r="A8" s="2" t="inlineStr">
        <is>
          <t>HC-007</t>
        </is>
      </c>
      <c r="B8" s="2" t="inlineStr">
        <is>
          <t>Data residency within United States (no offshore processing)</t>
        </is>
      </c>
      <c r="C8" s="2" t="inlineStr">
        <is>
          <t>Compliant</t>
        </is>
      </c>
      <c r="D8" s="2" t="inlineStr">
        <is>
          <t>All processing in AWS us-east-1 and us-west-2; no cross-border data transfer</t>
        </is>
      </c>
      <c r="E8" s="2" t="inlineStr">
        <is>
          <t>Potential state privacy law violations; patient trust concerns</t>
        </is>
      </c>
    </row>
    <row r="9">
      <c r="A9" s="2" t="inlineStr">
        <is>
          <t>HC-008</t>
        </is>
      </c>
      <c r="B9" s="2" t="inlineStr">
        <is>
          <t>Patient right to access and delete voice recordings</t>
        </is>
      </c>
      <c r="C9" s="2" t="inlineStr">
        <is>
          <t>Partial</t>
        </is>
      </c>
      <c r="D9" s="2" t="inlineStr">
        <is>
          <t>Access request workflow exists; deletion workflow in development (ETA Q2 2026)</t>
        </is>
      </c>
      <c r="E9" s="2" t="inlineStr">
        <is>
          <t>HIPAA Right of Access violation; OCR enforcement priority area</t>
        </is>
      </c>
    </row>
    <row r="10">
      <c r="A10" s="2" t="inlineStr">
        <is>
          <t>HC-009</t>
        </is>
      </c>
      <c r="B10" s="2" t="inlineStr">
        <is>
          <t>Annual HIPAA security risk assessment</t>
        </is>
      </c>
      <c r="C10" s="2" t="inlineStr">
        <is>
          <t>Compliant</t>
        </is>
      </c>
      <c r="D10" s="2" t="inlineStr">
        <is>
          <t>Most recent risk assessment dated 2025-11; third-party assessor (Coalfire)</t>
        </is>
      </c>
      <c r="E10" s="2" t="inlineStr">
        <is>
          <t>Non-compliance with HIPAA Security Rule; audit finding</t>
        </is>
      </c>
    </row>
    <row r="11">
      <c r="A11" s="2" t="inlineStr">
        <is>
          <t>HC-010</t>
        </is>
      </c>
      <c r="B11" s="2" t="inlineStr">
        <is>
          <t>Workforce training on PHI handling and security awareness</t>
        </is>
      </c>
      <c r="C11" s="2" t="inlineStr">
        <is>
          <t>Compliant</t>
        </is>
      </c>
      <c r="D11" s="2" t="inlineStr">
        <is>
          <t>Annual training with 98% completion rate; phishing simulation program active</t>
        </is>
      </c>
      <c r="E11" s="2" t="inlineStr">
        <is>
          <t>Human error leading to breach; HIPAA Administrative Safeguard gap</t>
        </is>
      </c>
    </row>
    <row r="12">
      <c r="A12" s="2" t="inlineStr">
        <is>
          <t>HC-011</t>
        </is>
      </c>
      <c r="B12" s="2" t="inlineStr">
        <is>
          <t>De-identification of data used for model training (Safe Harbor or Expert Determination)</t>
        </is>
      </c>
      <c r="C12" s="2" t="inlineStr">
        <is>
          <t>Partial</t>
        </is>
      </c>
      <c r="D12" s="2" t="inlineStr">
        <is>
          <t>Safe Harbor method applied to training data; re-identification risk assessment not completed</t>
        </is>
      </c>
      <c r="E12" s="2" t="inlineStr">
        <is>
          <t>Using PHI for model training without authorization; HIPAA Privacy Rule violation</t>
        </is>
      </c>
    </row>
    <row r="13">
      <c r="A13" s="2" t="inlineStr">
        <is>
          <t>HC-012</t>
        </is>
      </c>
      <c r="B13" s="2" t="inlineStr">
        <is>
          <t>Subcontractor/sub-processor BAAs for all downstream vendors</t>
        </is>
      </c>
      <c r="C13" s="2" t="inlineStr">
        <is>
          <t>Compliant</t>
        </is>
      </c>
      <c r="D13" s="2" t="inlineStr">
        <is>
          <t>Sub-processor list provided; BAAs in place for AWS, Twilio, and transcription service</t>
        </is>
      </c>
      <c r="E13" s="2" t="inlineStr">
        <is>
          <t>Downstream breach without contractual protection; liability exposure</t>
        </is>
      </c>
    </row>
  </sheetData>
  <conditionalFormatting sqref="C2:C13">
    <cfRule type="cellIs" priority="1" operator="equal" dxfId="0">
      <formula>"Compliant"</formula>
    </cfRule>
    <cfRule type="cellIs" priority="2" operator="equal" dxfId="1">
      <formula>"Non-Compliant"</formula>
    </cfRule>
    <cfRule type="cellIs" priority="3" operator="equal" dxfId="2">
      <formula>"Partial"</formula>
    </cfRule>
  </conditionalFormatting>
  <dataValidations count="1">
    <dataValidation sqref="C2:C13" showDropDown="0" showInputMessage="0" showErrorMessage="1" allowBlank="0" errorTitle="Invalid Status" error="Status must be Compliant, Non-Compliant, Partial, or N/A." type="list">
      <formula1>"Compliant,Non-Compliant,Partial,N/A"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6" customWidth="1" min="1" max="1"/>
    <col width="53" customWidth="1" min="2" max="2"/>
    <col width="13" customWidth="1" min="3" max="3"/>
    <col width="17" customWidth="1" min="4" max="4"/>
    <col width="60" customWidth="1" min="5" max="5"/>
    <col width="60" customWidth="1" min="6" max="6"/>
  </cols>
  <sheetData>
    <row r="1">
      <c r="A1" s="1" t="inlineStr">
        <is>
          <t>System</t>
        </is>
      </c>
      <c r="B1" s="1" t="inlineStr">
        <is>
          <t>Integration Type</t>
        </is>
      </c>
      <c r="C1" s="1" t="inlineStr">
        <is>
          <t>Feasibility</t>
        </is>
      </c>
      <c r="D1" s="1" t="inlineStr">
        <is>
          <t>Effort Estimate</t>
        </is>
      </c>
      <c r="E1" s="1" t="inlineStr">
        <is>
          <t>Dependencies</t>
        </is>
      </c>
      <c r="F1" s="1" t="inlineStr">
        <is>
          <t>Notes</t>
        </is>
      </c>
    </row>
    <row r="2">
      <c r="A2" s="2" t="inlineStr">
        <is>
          <t>athenahealth EHR</t>
        </is>
      </c>
      <c r="B2" s="2" t="inlineStr">
        <is>
          <t>FHIR R4 API (Patient, Encounter, DocumentReference)</t>
        </is>
      </c>
      <c r="C2" s="2" t="inlineStr">
        <is>
          <t>Medium</t>
        </is>
      </c>
      <c r="D2" s="2" t="inlineStr">
        <is>
          <t>6-8 weeks</t>
        </is>
      </c>
      <c r="E2" s="2" t="inlineStr">
        <is>
          <t>athenahealth Marketplace approval; FHIR R4 sandbox access</t>
        </is>
      </c>
      <c r="F2" s="2" t="inlineStr">
        <is>
          <t>athenahealth connector in beta; may need custom adapter for Eleanor's workflow</t>
        </is>
      </c>
    </row>
    <row r="3">
      <c r="A3" s="2" t="inlineStr">
        <is>
          <t>Salesforce Health Cloud</t>
        </is>
      </c>
      <c r="B3" s="2" t="inlineStr">
        <is>
          <t>REST API + Custom Objects (Care Plan, Task)</t>
        </is>
      </c>
      <c r="C3" s="2" t="inlineStr">
        <is>
          <t>High</t>
        </is>
      </c>
      <c r="D3" s="2" t="inlineStr">
        <is>
          <t>3-4 weeks</t>
        </is>
      </c>
      <c r="E3" s="2" t="inlineStr">
        <is>
          <t>Salesforce Connected App setup; Eleanor custom object schema</t>
        </is>
      </c>
      <c r="F3" s="2" t="inlineStr">
        <is>
          <t>Native Salesforce app available; bi-directional sync for care coordination tasks</t>
        </is>
      </c>
    </row>
    <row r="4">
      <c r="A4" s="2" t="inlineStr">
        <is>
          <t>Twilio Telephony</t>
        </is>
      </c>
      <c r="B4" s="2" t="inlineStr">
        <is>
          <t>SIP Trunk + Programmable Voice API</t>
        </is>
      </c>
      <c r="C4" s="2" t="inlineStr">
        <is>
          <t>High</t>
        </is>
      </c>
      <c r="D4" s="2" t="inlineStr">
        <is>
          <t>1-2 weeks</t>
        </is>
      </c>
      <c r="E4" s="2" t="inlineStr">
        <is>
          <t>Twilio account configuration; SIP trunk provisioning</t>
        </is>
      </c>
      <c r="F4" s="2" t="inlineStr">
        <is>
          <t>Vendor has production Twilio integration; supports call recording and real-time transcription</t>
        </is>
      </c>
    </row>
    <row r="5">
      <c r="A5" s="2" t="inlineStr">
        <is>
          <t>Data Warehouse (Snowflake)</t>
        </is>
      </c>
      <c r="B5" s="2" t="inlineStr">
        <is>
          <t>Batch ETL via S3 + Snowpipe</t>
        </is>
      </c>
      <c r="C5" s="2" t="inlineStr">
        <is>
          <t>High</t>
        </is>
      </c>
      <c r="D5" s="2" t="inlineStr">
        <is>
          <t>2-3 weeks</t>
        </is>
      </c>
      <c r="E5" s="2" t="inlineStr">
        <is>
          <t>Snowflake staging schema; IAM role for S3 access</t>
        </is>
      </c>
      <c r="F5" s="2" t="inlineStr">
        <is>
          <t>Vendor exports call metadata and outcomes in Parquet format; daily batch load</t>
        </is>
      </c>
    </row>
    <row r="6">
      <c r="A6" s="2" t="inlineStr">
        <is>
          <t>Ops Platform (internal scheduling)</t>
        </is>
      </c>
      <c r="B6" s="2" t="inlineStr">
        <is>
          <t>REST API webhook for appointment reminders</t>
        </is>
      </c>
      <c r="C6" s="2" t="inlineStr">
        <is>
          <t>Medium</t>
        </is>
      </c>
      <c r="D6" s="2" t="inlineStr">
        <is>
          <t>4-5 weeks</t>
        </is>
      </c>
      <c r="E6" s="2" t="inlineStr">
        <is>
          <t>Internal API documentation; webhook endpoint security review</t>
        </is>
      </c>
      <c r="F6" s="2" t="inlineStr">
        <is>
          <t>Custom integration required; vendor has webhook framework but needs Eleanor-specific payload mapping</t>
        </is>
      </c>
    </row>
  </sheetData>
  <conditionalFormatting sqref="C2:C6">
    <cfRule type="cellIs" priority="1" operator="equal" dxfId="0">
      <formula>"High"</formula>
    </cfRule>
    <cfRule type="cellIs" priority="2" operator="equal" dxfId="1">
      <formula>"Low"</formula>
    </cfRule>
    <cfRule type="cellIs" priority="3" operator="equal" dxfId="2">
      <formula>"Medium"</formula>
    </cfRule>
  </conditionalFormatting>
  <dataValidations count="1">
    <dataValidation sqref="C2:C6" showDropDown="0" showInputMessage="0" showErrorMessage="1" allowBlank="0" errorTitle="Invalid Feasibility" error="Feasibility must be High, Medium, or Low." type="list">
      <formula1>"High,Medium,Low"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52" customWidth="1" min="1" max="1"/>
    <col width="36" customWidth="1" min="2" max="2"/>
    <col width="34" customWidth="1" min="3" max="3"/>
    <col width="60" customWidth="1" min="4" max="4"/>
    <col width="12" customWidth="1" min="5" max="5"/>
    <col width="50" customWidth="1" min="6" max="6"/>
    <col width="28" customWidth="1" min="7" max="7"/>
  </cols>
  <sheetData>
    <row r="1">
      <c r="A1" s="1" t="inlineStr">
        <is>
          <t>Metric</t>
        </is>
      </c>
      <c r="B1" s="1" t="inlineStr">
        <is>
          <t>Baseline</t>
        </is>
      </c>
      <c r="C1" s="1" t="inlineStr">
        <is>
          <t>Target</t>
        </is>
      </c>
      <c r="D1" s="1" t="inlineStr">
        <is>
          <t>Measurement Method</t>
        </is>
      </c>
      <c r="E1" s="1" t="inlineStr">
        <is>
          <t>Duration</t>
        </is>
      </c>
      <c r="F1" s="1" t="inlineStr">
        <is>
          <t>Success Threshold</t>
        </is>
      </c>
      <c r="G1" s="1" t="inlineStr">
        <is>
          <t>Owner</t>
        </is>
      </c>
    </row>
    <row r="2">
      <c r="A2" s="2" t="inlineStr">
        <is>
          <t>Appointment show rate</t>
        </is>
      </c>
      <c r="B2" s="2" t="inlineStr">
        <is>
          <t>62%</t>
        </is>
      </c>
      <c r="C2" s="2" t="inlineStr">
        <is>
          <t>72%</t>
        </is>
      </c>
      <c r="D2" s="2" t="inlineStr">
        <is>
          <t>athenahealth appointment status report (kept vs. no-show)</t>
        </is>
      </c>
      <c r="E2" s="2" t="inlineStr">
        <is>
          <t>90 days</t>
        </is>
      </c>
      <c r="F2" s="2" t="inlineStr">
        <is>
          <t>&gt;= 70% show rate in pilot cohort</t>
        </is>
      </c>
      <c r="G2" s="2" t="inlineStr">
        <is>
          <t>Director of Operations</t>
        </is>
      </c>
    </row>
    <row r="3">
      <c r="A3" s="2" t="inlineStr">
        <is>
          <t>Patient engagement rate (calls answered/completed)</t>
        </is>
      </c>
      <c r="B3" s="2" t="inlineStr">
        <is>
          <t>35% (current outbound answer rate)</t>
        </is>
      </c>
      <c r="C3" s="2" t="inlineStr">
        <is>
          <t>55%</t>
        </is>
      </c>
      <c r="D3" s="2" t="inlineStr">
        <is>
          <t>Twilio call disposition logs + vendor dashboard</t>
        </is>
      </c>
      <c r="E3" s="2" t="inlineStr">
        <is>
          <t>90 days</t>
        </is>
      </c>
      <c r="F3" s="2" t="inlineStr">
        <is>
          <t>&gt;= 50% engagement rate</t>
        </is>
      </c>
      <c r="G3" s="2" t="inlineStr">
        <is>
          <t>Product Lead</t>
        </is>
      </c>
    </row>
    <row r="4">
      <c r="A4" s="2" t="inlineStr">
        <is>
          <t>Crisis detection accuracy</t>
        </is>
      </c>
      <c r="B4" s="2" t="inlineStr">
        <is>
          <t>N/A (new capability)</t>
        </is>
      </c>
      <c r="C4" s="2" t="inlineStr">
        <is>
          <t>95% sensitivity</t>
        </is>
      </c>
      <c r="D4" s="2" t="inlineStr">
        <is>
          <t>Clinical review of flagged vs. unflagged calls (random sample n=200)</t>
        </is>
      </c>
      <c r="E4" s="2" t="inlineStr">
        <is>
          <t>90 days</t>
        </is>
      </c>
      <c r="F4" s="2" t="inlineStr">
        <is>
          <t>&gt;= 90% sensitivity; zero missed critical events</t>
        </is>
      </c>
      <c r="G4" s="2" t="inlineStr">
        <is>
          <t>Chief Clinical Officer</t>
        </is>
      </c>
    </row>
    <row r="5">
      <c r="A5" s="2" t="inlineStr">
        <is>
          <t>Patient satisfaction (post-call survey)</t>
        </is>
      </c>
      <c r="B5" s="2" t="inlineStr">
        <is>
          <t>3.8/5.0 (current IVR satisfaction)</t>
        </is>
      </c>
      <c r="C5" s="2" t="inlineStr">
        <is>
          <t>4.3/5.0</t>
        </is>
      </c>
      <c r="D5" s="2" t="inlineStr">
        <is>
          <t>Post-call SMS survey (1-5 scale); minimum 30% response rate</t>
        </is>
      </c>
      <c r="E5" s="2" t="inlineStr">
        <is>
          <t>90 days</t>
        </is>
      </c>
      <c r="F5" s="2" t="inlineStr">
        <is>
          <t>&gt;= 4.0/5.0 with &gt;= 30% response rate</t>
        </is>
      </c>
      <c r="G5" s="2" t="inlineStr">
        <is>
          <t>Patient Experience Manager</t>
        </is>
      </c>
    </row>
    <row r="6">
      <c r="A6" s="2" t="inlineStr">
        <is>
          <t>Cost per successful patient touchpoint</t>
        </is>
      </c>
      <c r="B6" s="2" t="inlineStr">
        <is>
          <t>$4.80/touchpoint (staff outreach)</t>
        </is>
      </c>
      <c r="C6" s="2" t="inlineStr">
        <is>
          <t>$2.00/touchpoint</t>
        </is>
      </c>
      <c r="D6" s="2" t="inlineStr">
        <is>
          <t>Total vendor cost / completed calls resulting in action (appointment, refill, etc.)</t>
        </is>
      </c>
      <c r="E6" s="2" t="inlineStr">
        <is>
          <t>90 days</t>
        </is>
      </c>
      <c r="F6" s="2" t="inlineStr">
        <is>
          <t>&lt;= $2.50/touchpoint</t>
        </is>
      </c>
      <c r="G6" s="2" t="inlineStr">
        <is>
          <t>Finance Lead</t>
        </is>
      </c>
    </row>
    <row r="7">
      <c r="A7" s="2" t="inlineStr">
        <is>
          <t>Clinical escalation appropriateness</t>
        </is>
      </c>
      <c r="B7" s="2" t="inlineStr">
        <is>
          <t>N/A (new capability)</t>
        </is>
      </c>
      <c r="C7" s="2" t="inlineStr">
        <is>
          <t>&gt;= 90% appropriate escalations</t>
        </is>
      </c>
      <c r="D7" s="2" t="inlineStr">
        <is>
          <t>Clinical team review of all escalated calls; rate as appropriate/inappropriate</t>
        </is>
      </c>
      <c r="E7" s="2" t="inlineStr">
        <is>
          <t>90 days</t>
        </is>
      </c>
      <c r="F7" s="2" t="inlineStr">
        <is>
          <t>&gt;= 85% appropriate; zero missed escalations</t>
        </is>
      </c>
      <c r="G7" s="2" t="inlineStr">
        <is>
          <t>Clinical Quality Manager</t>
        </is>
      </c>
    </row>
    <row r="8">
      <c r="A8" s="2" t="inlineStr">
        <is>
          <t>Staff time recaptured (hours/week)</t>
        </is>
      </c>
      <c r="B8" s="2" t="inlineStr">
        <is>
          <t>0 hours (current state)</t>
        </is>
      </c>
      <c r="C8" s="2" t="inlineStr">
        <is>
          <t>40 hours/week across pilot sites</t>
        </is>
      </c>
      <c r="D8" s="2" t="inlineStr">
        <is>
          <t>Time study: staff hours on outbound calls pre/post pilot</t>
        </is>
      </c>
      <c r="E8" s="2" t="inlineStr">
        <is>
          <t>90 days</t>
        </is>
      </c>
      <c r="F8" s="2" t="inlineStr">
        <is>
          <t>&gt;= 30 hours/week recaptured</t>
        </is>
      </c>
      <c r="G8" s="2" t="inlineStr">
        <is>
          <t>Director of Operations</t>
        </is>
      </c>
    </row>
    <row r="9">
      <c r="A9" s="2" t="inlineStr">
        <is>
          <t>System uptime and reliability</t>
        </is>
      </c>
      <c r="B9" s="2" t="inlineStr">
        <is>
          <t>N/A</t>
        </is>
      </c>
      <c r="C9" s="2" t="inlineStr">
        <is>
          <t>99.9% uptime</t>
        </is>
      </c>
      <c r="D9" s="2" t="inlineStr">
        <is>
          <t>Vendor SLA dashboard + internal monitoring (PagerDuty)</t>
        </is>
      </c>
      <c r="E9" s="2" t="inlineStr">
        <is>
          <t>90 days</t>
        </is>
      </c>
      <c r="F9" s="2" t="inlineStr">
        <is>
          <t>&gt;= 99.5% uptime; zero unplanned outages &gt; 30 min</t>
        </is>
      </c>
      <c r="G9" s="2" t="inlineStr">
        <is>
          <t>Engineering Lead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13" customWidth="1" min="4" max="4"/>
    <col width="60" customWidth="1" min="5" max="5"/>
  </cols>
  <sheetData>
    <row r="1">
      <c r="A1" s="1" t="inlineStr">
        <is>
          <t>Term</t>
        </is>
      </c>
      <c r="B1" s="1" t="inlineStr">
        <is>
          <t>Requirement</t>
        </is>
      </c>
      <c r="C1" s="1" t="inlineStr">
        <is>
          <t>Vendor Response</t>
        </is>
      </c>
      <c r="D1" s="1" t="inlineStr">
        <is>
          <t>Acceptable?</t>
        </is>
      </c>
      <c r="E1" s="1" t="inlineStr">
        <is>
          <t>Negotiation Notes</t>
        </is>
      </c>
    </row>
    <row r="2">
      <c r="A2" s="2" t="inlineStr">
        <is>
          <t>Business Associate Agreement</t>
        </is>
      </c>
      <c r="B2" s="2" t="inlineStr">
        <is>
          <t>Fully executed BAA covering voice data, transcripts, metadata, and derived analytics</t>
        </is>
      </c>
      <c r="C2" s="2" t="inlineStr">
        <is>
          <t>Standard BAA provided; covers all PHI categories</t>
        </is>
      </c>
      <c r="D2" s="2" t="inlineStr">
        <is>
          <t>Yes</t>
        </is>
      </c>
      <c r="E2" s="2" t="inlineStr"/>
    </row>
    <row r="3">
      <c r="A3" s="2" t="inlineStr">
        <is>
          <t>Data ownership and portability</t>
        </is>
      </c>
      <c r="B3" s="2" t="inlineStr">
        <is>
          <t>Eleanor Health retains ownership of all patient data; vendor provides data export within 30 days of termination</t>
        </is>
      </c>
      <c r="C3" s="2" t="inlineStr">
        <is>
          <t>Data ownership clause included; export in Parquet + JSON format</t>
        </is>
      </c>
      <c r="D3" s="2" t="inlineStr">
        <is>
          <t>Yes</t>
        </is>
      </c>
      <c r="E3" s="2" t="inlineStr"/>
    </row>
    <row r="4">
      <c r="A4" s="2" t="inlineStr">
        <is>
          <t>Model training data usage</t>
        </is>
      </c>
      <c r="B4" s="2" t="inlineStr">
        <is>
          <t>Vendor may NOT use Eleanor patient data to train models for other customers without explicit written consent</t>
        </is>
      </c>
      <c r="C4" s="2" t="inlineStr">
        <is>
          <t>Agreed to opt-out; default is opt-in for aggregate model improvement</t>
        </is>
      </c>
      <c r="D4" s="2" t="inlineStr">
        <is>
          <t>No</t>
        </is>
      </c>
      <c r="E4" s="2" t="inlineStr">
        <is>
          <t>Require explicit opt-out as DEFAULT, not opt-in. Non-negotiable for Part 2 compliance.</t>
        </is>
      </c>
    </row>
    <row r="5">
      <c r="A5" s="2" t="inlineStr">
        <is>
          <t>SLA: uptime guarantee</t>
        </is>
      </c>
      <c r="B5" s="2" t="inlineStr">
        <is>
          <t>99.9% uptime SLA with service credits for breach</t>
        </is>
      </c>
      <c r="C5" s="2" t="inlineStr">
        <is>
          <t>99.5% standard SLA; 99.9% available on Enterprise tier at +15% cost</t>
        </is>
      </c>
      <c r="D5" s="2" t="inlineStr">
        <is>
          <t>No</t>
        </is>
      </c>
      <c r="E5" s="2" t="inlineStr">
        <is>
          <t>Negotiate 99.9% into base contract; clinical use case requires higher reliability</t>
        </is>
      </c>
    </row>
    <row r="6">
      <c r="A6" s="2" t="inlineStr">
        <is>
          <t>Termination and wind-down</t>
        </is>
      </c>
      <c r="B6" s="2" t="inlineStr">
        <is>
          <t>90-day termination for convenience with 180-day wind-down support</t>
        </is>
      </c>
      <c r="C6" s="2" t="inlineStr">
        <is>
          <t>60-day termination; 90-day wind-down</t>
        </is>
      </c>
      <c r="D6" s="2" t="inlineStr">
        <is>
          <t>Yes</t>
        </is>
      </c>
      <c r="E6" s="2" t="inlineStr">
        <is>
          <t>Acceptable; shorter than requested but operationally feasible</t>
        </is>
      </c>
    </row>
    <row r="7">
      <c r="A7" s="2" t="inlineStr">
        <is>
          <t>Liability cap</t>
        </is>
      </c>
      <c r="B7" s="2" t="inlineStr">
        <is>
          <t>Liability cap of 2x annual contract value; unlimited for data breach and willful misconduct</t>
        </is>
      </c>
      <c r="C7" s="2" t="inlineStr">
        <is>
          <t>1x annual contract value; unlimited for data breach only</t>
        </is>
      </c>
      <c r="D7" s="2" t="inlineStr">
        <is>
          <t>No</t>
        </is>
      </c>
      <c r="E7" s="2" t="inlineStr">
        <is>
          <t>Push for 2x cap; add willful misconduct carve-out</t>
        </is>
      </c>
    </row>
    <row r="8">
      <c r="A8" s="2" t="inlineStr">
        <is>
          <t>Insurance requirements</t>
        </is>
      </c>
      <c r="B8" s="2" t="inlineStr">
        <is>
          <t>Vendor carries $5M cyber liability insurance and $2M professional liability (E&amp;O)</t>
        </is>
      </c>
      <c r="C8" s="2" t="inlineStr">
        <is>
          <t>$5M cyber; $1M E&amp;O</t>
        </is>
      </c>
      <c r="D8" s="2" t="inlineStr">
        <is>
          <t>No</t>
        </is>
      </c>
      <c r="E8" s="2" t="inlineStr">
        <is>
          <t>Require $2M E&amp;O minimum given clinical use case; verify certificate of insurance</t>
        </is>
      </c>
    </row>
    <row r="9">
      <c r="A9" s="2" t="inlineStr">
        <is>
          <t>Security incident response</t>
        </is>
      </c>
      <c r="B9" s="2" t="inlineStr">
        <is>
          <t>Vendor notifies Eleanor within 24 hours of any security incident; provides root cause analysis within 5 business days</t>
        </is>
      </c>
      <c r="C9" s="2" t="inlineStr">
        <is>
          <t>24-hour notification agreed; RCA within 10 business days</t>
        </is>
      </c>
      <c r="D9" s="2" t="inlineStr">
        <is>
          <t>Yes</t>
        </is>
      </c>
      <c r="E9" s="2" t="inlineStr">
        <is>
          <t>10-day RCA acceptable; add requirement for interim status updates every 48 hours</t>
        </is>
      </c>
    </row>
    <row r="10">
      <c r="A10" s="2" t="inlineStr">
        <is>
          <t>Audit rights</t>
        </is>
      </c>
      <c r="B10" s="2" t="inlineStr">
        <is>
          <t>Eleanor Health may audit vendor security controls annually; vendor provides SOC 2 Type II report</t>
        </is>
      </c>
      <c r="C10" s="2" t="inlineStr">
        <is>
          <t>SOC 2 Type II provided annually; on-site audit with 30-day notice</t>
        </is>
      </c>
      <c r="D10" s="2" t="inlineStr">
        <is>
          <t>Yes</t>
        </is>
      </c>
      <c r="E10" s="2" t="inlineStr"/>
    </row>
    <row r="11">
      <c r="A11" s="2" t="inlineStr">
        <is>
          <t>Regulatory change management</t>
        </is>
      </c>
      <c r="B11" s="2" t="inlineStr">
        <is>
          <t>Vendor adapts to regulatory changes (HIPAA, state privacy laws, 42 CFR Part 2) within 90 days of effective date</t>
        </is>
      </c>
      <c r="C11" s="2" t="inlineStr">
        <is>
          <t>Best-effort compliance; no SLA on regulatory adaptation</t>
        </is>
      </c>
      <c r="D11" s="2" t="inlineStr">
        <is>
          <t>No</t>
        </is>
      </c>
      <c r="E11" s="2" t="inlineStr">
        <is>
          <t>Require contractual SLA for regulatory compliance updates; critical for behavioral health</t>
        </is>
      </c>
    </row>
  </sheetData>
  <conditionalFormatting sqref="D2:D11">
    <cfRule type="cellIs" priority="1" operator="equal" dxfId="0">
      <formula>"Yes"</formula>
    </cfRule>
    <cfRule type="cellIs" priority="2" operator="equal" dxfId="1">
      <formula>"No"</formula>
    </cfRule>
  </conditionalFormatting>
  <dataValidations count="1">
    <dataValidation sqref="D2:D11" showDropDown="0" showInputMessage="0" showErrorMessage="1" allowBlank="0" errorTitle="Invalid Value" error="Must be Yes or No.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2026-04-29T19:04:50Z</dcterms:created>
  <dcterms:modified xmlns:dcterms="http://purl.org/dc/terms/" xmlns:xsi="http://www.w3.org/2001/XMLSchema-instance" xsi:type="dcterms:W3CDTF">2026-04-29T19:04:50Z</dcterms:modified>
</cp:coreProperties>
</file>